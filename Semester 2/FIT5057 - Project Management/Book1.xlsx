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isenberg/Downloads/Monash Assignments/Semester 2/FIT5057 - Project Management/"/>
    </mc:Choice>
  </mc:AlternateContent>
  <xr:revisionPtr revIDLastSave="0" documentId="8_{391F1D8F-1DD1-244F-B282-A74F5EE97468}" xr6:coauthVersionLast="47" xr6:coauthVersionMax="47" xr10:uidLastSave="{00000000-0000-0000-0000-000000000000}"/>
  <bookViews>
    <workbookView xWindow="0" yWindow="500" windowWidth="51200" windowHeight="28300" activeTab="3" xr2:uid="{44D200CD-B1A5-AA47-90CA-AB5CC3310892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2.0" hidden="1">Sheet4!$H$21:$H$35</definedName>
    <definedName name="_xlchart.v2.1" hidden="1">Sheet4!$I$20</definedName>
    <definedName name="_xlchart.v2.2" hidden="1">Sheet4!$I$21:$I$35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<sst xmlns="http://schemas.openxmlformats.org/spreadsheetml/2006/main" count="155" uniqueCount="112">
  <si>
    <t>Risk ID</t>
  </si>
  <si>
    <t>Category</t>
  </si>
  <si>
    <t>Risk Description</t>
  </si>
  <si>
    <t>Likelihood (1–5)</t>
  </si>
  <si>
    <t>Consequence (1–5)</t>
  </si>
  <si>
    <t>Risk Rating</t>
  </si>
  <si>
    <t>Response Strategy</t>
  </si>
  <si>
    <t>Owner</t>
  </si>
  <si>
    <t>R1</t>
  </si>
  <si>
    <t>Technical</t>
  </si>
  <si>
    <t>AI model fails to meet accuracy benchmarks</t>
  </si>
  <si>
    <t>5 (Almost Certain)</t>
  </si>
  <si>
    <t>3 (Moderate)</t>
  </si>
  <si>
    <t>15 – High</t>
  </si>
  <si>
    <t>Mitigate – iterative testing &amp; validation</t>
  </si>
  <si>
    <t>Technical Lead</t>
  </si>
  <si>
    <t>R2</t>
  </si>
  <si>
    <t>Schedule</t>
  </si>
  <si>
    <t>Delay in EEG hardware procurement</t>
  </si>
  <si>
    <t>4 (Likely)</t>
  </si>
  <si>
    <t>4 (Major)</t>
  </si>
  <si>
    <t>16 – Extreme</t>
  </si>
  <si>
    <t>Transfer – vendor SLA &amp; alternative suppliers</t>
  </si>
  <si>
    <t>Procurement Manager</t>
  </si>
  <si>
    <t>R3</t>
  </si>
  <si>
    <t>Budget</t>
  </si>
  <si>
    <t>Cloud costs exceed estimates due to scaling</t>
  </si>
  <si>
    <t>3 (Possible)</t>
  </si>
  <si>
    <t>12 – High</t>
  </si>
  <si>
    <t>Mitigate – apply cost monitoring &amp; usage caps</t>
  </si>
  <si>
    <t>Finance Officer</t>
  </si>
  <si>
    <t>R4</t>
  </si>
  <si>
    <t>Stakeholder</t>
  </si>
  <si>
    <t>Low faculty adoption of tutoring system</t>
  </si>
  <si>
    <t>2 (Unlikely)</t>
  </si>
  <si>
    <t>8 – Moderate</t>
  </si>
  <si>
    <t>Mitigate – conduct workshops &amp; user engagement</t>
  </si>
  <si>
    <t>Project Manager</t>
  </si>
  <si>
    <t>R5</t>
  </si>
  <si>
    <t>External</t>
  </si>
  <si>
    <t>Regulatory approval delays (ethics/legal)</t>
  </si>
  <si>
    <t>5 (Catastrophic)</t>
  </si>
  <si>
    <t>Avoid – early engagement with regulators</t>
  </si>
  <si>
    <t>Compliance Officer</t>
  </si>
  <si>
    <t>R6</t>
  </si>
  <si>
    <t>Scope</t>
  </si>
  <si>
    <t>Scope creep from additional requested features</t>
  </si>
  <si>
    <t>9 – Moderate</t>
  </si>
  <si>
    <t>Mitigate – enforce change control process</t>
  </si>
  <si>
    <t>R7</t>
  </si>
  <si>
    <t>Integration issues between AI and dashboard</t>
  </si>
  <si>
    <t>Mitigate – modular development &amp; early testing</t>
  </si>
  <si>
    <t>System Architect</t>
  </si>
  <si>
    <t>R8</t>
  </si>
  <si>
    <t>Cybersecurity breach during pilot phase</t>
  </si>
  <si>
    <t>10 – High</t>
  </si>
  <si>
    <t>Mitigate – robust encryption &amp; audits</t>
  </si>
  <si>
    <t>Security Officer</t>
  </si>
  <si>
    <t>R9</t>
  </si>
  <si>
    <t>Training</t>
  </si>
  <si>
    <t>Students struggle to adopt new system</t>
  </si>
  <si>
    <t>2 (Minor)</t>
  </si>
  <si>
    <r>
      <t xml:space="preserve">4 – </t>
    </r>
    <r>
      <rPr>
        <b/>
        <sz val="12"/>
        <color theme="1"/>
        <rFont val="Aptos Narrow"/>
        <family val="2"/>
        <scheme val="minor"/>
      </rPr>
      <t>Low</t>
    </r>
  </si>
  <si>
    <t>Mitigate – phased rollout &amp; continuous support</t>
  </si>
  <si>
    <t>Training Coordinator</t>
  </si>
  <si>
    <t>R10</t>
  </si>
  <si>
    <t>Operational</t>
  </si>
  <si>
    <t>Minor miscommunication between teams causes delays</t>
  </si>
  <si>
    <t>1 (Rare)</t>
  </si>
  <si>
    <r>
      <t xml:space="preserve">2 – </t>
    </r>
    <r>
      <rPr>
        <b/>
        <sz val="12"/>
        <color theme="1"/>
        <rFont val="Aptos Narrow"/>
        <family val="2"/>
        <scheme val="minor"/>
      </rPr>
      <t>Low</t>
    </r>
  </si>
  <si>
    <t>Accept – monitor and address if occurs</t>
  </si>
  <si>
    <t>R11</t>
  </si>
  <si>
    <t>Occasional minor reporting errors in dashboard</t>
  </si>
  <si>
    <t>1 (Insignificant)</t>
  </si>
  <si>
    <t>Accept – track and fix if noticed</t>
  </si>
  <si>
    <t>QA Lead</t>
  </si>
  <si>
    <t>Almost Certain (5)</t>
  </si>
  <si>
    <t>Likely (4)</t>
  </si>
  <si>
    <t>Possible (3)</t>
  </si>
  <si>
    <t>Unlikely (2)</t>
  </si>
  <si>
    <t>Rare (1)</t>
  </si>
  <si>
    <t>Insignificant (1)</t>
  </si>
  <si>
    <t>Minor (2)</t>
  </si>
  <si>
    <t>Moderate (3)</t>
  </si>
  <si>
    <t>Major (4)</t>
  </si>
  <si>
    <t>Catastrophic (5)</t>
  </si>
  <si>
    <t>Moderate (5)</t>
  </si>
  <si>
    <t>High (10)</t>
  </si>
  <si>
    <t>High (15)</t>
  </si>
  <si>
    <t>Catastrophic (20)</t>
  </si>
  <si>
    <t>Catastrophic (25)</t>
  </si>
  <si>
    <t>Moderate (4)</t>
  </si>
  <si>
    <t>Low (3)</t>
  </si>
  <si>
    <t>Low (2)</t>
  </si>
  <si>
    <t>Low (1)</t>
  </si>
  <si>
    <t>Moderate (6)</t>
  </si>
  <si>
    <t>Moderate (8)</t>
  </si>
  <si>
    <t>High (12)</t>
  </si>
  <si>
    <t>Moderate (9)</t>
  </si>
  <si>
    <t>Catastrophic (16)</t>
  </si>
  <si>
    <t>Consequences</t>
  </si>
  <si>
    <t>Likelyhood</t>
  </si>
  <si>
    <t>High</t>
  </si>
  <si>
    <t>Medium</t>
  </si>
  <si>
    <t>Low</t>
  </si>
  <si>
    <t>Probablility</t>
  </si>
  <si>
    <t>Impact</t>
  </si>
  <si>
    <t>R1
R3
R5
R7</t>
  </si>
  <si>
    <t>Period</t>
  </si>
  <si>
    <t>Planned Spend</t>
  </si>
  <si>
    <t>Cumulative Spend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</si>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</sst>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0" borderId="0" xfId="0" applyFont="1"/>
    <xf numFmtId="17" fontId="3" fillId="0" borderId="0" xfId="0" applyNumberFormat="1" applyFont="1"/>
    <xf numFmtId="3" fontId="3" fillId="0" borderId="0" xfId="0" applyNumberFormat="1" applyFont="1"/>
    <xf numFmtId="10" fontId="3" fillId="0" borderId="0" xfId="0" applyNumberFormat="1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Sheet4!$I$20</c:f>
              <c:strCache>
                <c:ptCount val="1"/>
                <c:pt idx="0">
                  <c:v>Cumulative 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6343452650657E-2"/>
                  <c:y val="-9.8173515981735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E0-E148-A464-F7B894F60A44}"/>
                </c:ext>
              </c:extLst>
            </c:dLbl>
            <c:dLbl>
              <c:idx val="2"/>
              <c:layout>
                <c:manualLayout>
                  <c:x val="-2.6343452650657E-2"/>
                  <c:y val="-0.107305936073059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E0-E148-A464-F7B894F60A44}"/>
                </c:ext>
              </c:extLst>
            </c:dLbl>
            <c:dLbl>
              <c:idx val="3"/>
              <c:layout>
                <c:manualLayout>
                  <c:x val="-2.5690983235160853E-2"/>
                  <c:y val="-0.116438356164383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E0-E148-A464-F7B894F60A44}"/>
                </c:ext>
              </c:extLst>
            </c:dLbl>
            <c:dLbl>
              <c:idx val="4"/>
              <c:layout>
                <c:manualLayout>
                  <c:x val="-2.6597190756683282E-2"/>
                  <c:y val="-0.141552511415525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E0-E148-A464-F7B894F60A44}"/>
                </c:ext>
              </c:extLst>
            </c:dLbl>
            <c:dLbl>
              <c:idx val="5"/>
              <c:layout>
                <c:manualLayout>
                  <c:x val="-2.750339827820571E-2"/>
                  <c:y val="-0.123287671232876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E0-E148-A464-F7B894F60A44}"/>
                </c:ext>
              </c:extLst>
            </c:dLbl>
            <c:dLbl>
              <c:idx val="6"/>
              <c:layout>
                <c:manualLayout>
                  <c:x val="-2.4784775713638425E-2"/>
                  <c:y val="-0.1027397260273972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E0-E148-A464-F7B894F60A44}"/>
                </c:ext>
              </c:extLst>
            </c:dLbl>
            <c:dLbl>
              <c:idx val="7"/>
              <c:layout>
                <c:manualLayout>
                  <c:x val="-2.2972360670593633E-2"/>
                  <c:y val="-9.13242009132420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E0-E148-A464-F7B894F60A44}"/>
                </c:ext>
              </c:extLst>
            </c:dLbl>
            <c:dLbl>
              <c:idx val="8"/>
              <c:layout>
                <c:manualLayout>
                  <c:x val="-2.6597190756683348E-2"/>
                  <c:y val="-5.7077625570776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E0-E148-A464-F7B894F60A44}"/>
                </c:ext>
              </c:extLst>
            </c:dLbl>
            <c:dLbl>
              <c:idx val="9"/>
              <c:layout>
                <c:manualLayout>
                  <c:x val="-2.9315813321250567E-2"/>
                  <c:y val="-9.58904109589041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E0-E148-A464-F7B894F60A44}"/>
                </c:ext>
              </c:extLst>
            </c:dLbl>
            <c:dLbl>
              <c:idx val="10"/>
              <c:layout>
                <c:manualLayout>
                  <c:x val="-3.3846850928862707E-2"/>
                  <c:y val="-9.8173515981735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E0-E148-A464-F7B894F60A44}"/>
                </c:ext>
              </c:extLst>
            </c:dLbl>
            <c:dLbl>
              <c:idx val="11"/>
              <c:layout>
                <c:manualLayout>
                  <c:x val="-3.2034435885817988E-2"/>
                  <c:y val="-7.99086757990867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E0-E148-A464-F7B894F60A44}"/>
                </c:ext>
              </c:extLst>
            </c:dLbl>
            <c:dLbl>
              <c:idx val="12"/>
              <c:layout>
                <c:manualLayout>
                  <c:x val="-3.6565473493430131E-2"/>
                  <c:y val="-6.6210045662100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E0-E148-A464-F7B894F60A44}"/>
                </c:ext>
              </c:extLst>
            </c:dLbl>
            <c:dLbl>
              <c:idx val="13"/>
              <c:layout>
                <c:manualLayout>
                  <c:x val="-3.3846850928862707E-2"/>
                  <c:y val="-5.25114155251141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0E0-E148-A464-F7B894F60A44}"/>
                </c:ext>
              </c:extLst>
            </c:dLbl>
            <c:dLbl>
              <c:idx val="14"/>
              <c:layout>
                <c:manualLayout>
                  <c:x val="-3.203443588581785E-2"/>
                  <c:y val="-6.16438356164383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0E0-E148-A464-F7B894F60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Sheet4!$H$21:$H$35</c:f>
              <c:numCache>
                <c:formatCode>mmm\-yy</c:formatCode>
                <c:ptCount val="15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  <c:pt idx="13">
                  <c:v>46266</c:v>
                </c:pt>
                <c:pt idx="14">
                  <c:v>46296</c:v>
                </c:pt>
              </c:numCache>
            </c:numRef>
          </c:cat>
          <c:val>
            <c:numRef>
              <c:f>Sheet4!$I$21:$I$35</c:f>
              <c:numCache>
                <c:formatCode>#,##0</c:formatCode>
                <c:ptCount val="15"/>
                <c:pt idx="0">
                  <c:v>20000</c:v>
                </c:pt>
                <c:pt idx="1">
                  <c:v>50000</c:v>
                </c:pt>
                <c:pt idx="2">
                  <c:v>90000</c:v>
                </c:pt>
                <c:pt idx="3">
                  <c:v>130000</c:v>
                </c:pt>
                <c:pt idx="4">
                  <c:v>170000</c:v>
                </c:pt>
                <c:pt idx="5">
                  <c:v>215000</c:v>
                </c:pt>
                <c:pt idx="6">
                  <c:v>260000</c:v>
                </c:pt>
                <c:pt idx="7">
                  <c:v>305000</c:v>
                </c:pt>
                <c:pt idx="8">
                  <c:v>345000</c:v>
                </c:pt>
                <c:pt idx="9">
                  <c:v>380000</c:v>
                </c:pt>
                <c:pt idx="10">
                  <c:v>410000</c:v>
                </c:pt>
                <c:pt idx="11">
                  <c:v>435000</c:v>
                </c:pt>
                <c:pt idx="12">
                  <c:v>455000</c:v>
                </c:pt>
                <c:pt idx="13">
                  <c:v>470000</c:v>
                </c:pt>
                <c:pt idx="14">
                  <c:v>480000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0-E148-A464-F7B894F60A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5634560"/>
        <c:axId val="905637024"/>
      </c:lineChart>
      <c:dateAx>
        <c:axId val="9056345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37024"/>
        <c:crosses val="autoZero"/>
        <c:auto val="1"/>
        <c:lblOffset val="100"/>
        <c:baseTimeUnit val="months"/>
      </c:dateAx>
      <c:valAx>
        <c:axId val="90563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3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44450</xdr:colOff>
      <xdr:row>23</xdr:row>
      <xdr:rowOff>190500</xdr:rowOff>
    </xdr:from>
    <xdr:to>
      <xdr:col>33</xdr:col>
      <xdr:colOff>25400</xdr:colOff>
      <xdr:row>51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64C01-D11A-48A5-6AA3-F793623A7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8B46-97DC-C544-BBBA-611A147CC368}">
  <dimension ref="A1:H12"/>
  <sheetViews>
    <sheetView workbookViewId="0">
      <selection sqref="A1:H12"/>
    </sheetView>
  </sheetViews>
  <sheetFormatPr baseColWidth="10" defaultRowHeight="16" x14ac:dyDescent="0.2"/>
  <cols>
    <col min="1" max="1" width="7" bestFit="1" customWidth="1"/>
    <col min="3" max="3" width="46.83203125" bestFit="1" customWidth="1"/>
    <col min="4" max="4" width="15.83203125" bestFit="1" customWidth="1"/>
    <col min="5" max="5" width="17.1640625" bestFit="1" customWidth="1"/>
    <col min="6" max="6" width="11.33203125" bestFit="1" customWidth="1"/>
    <col min="7" max="7" width="41.1640625" bestFit="1" customWidth="1"/>
    <col min="8" max="8" width="19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26</v>
      </c>
      <c r="D4" t="s">
        <v>27</v>
      </c>
      <c r="E4" t="s">
        <v>20</v>
      </c>
      <c r="F4" t="s">
        <v>28</v>
      </c>
      <c r="G4" t="s">
        <v>29</v>
      </c>
      <c r="H4" t="s">
        <v>30</v>
      </c>
    </row>
    <row r="5" spans="1:8" x14ac:dyDescent="0.2">
      <c r="A5" t="s">
        <v>31</v>
      </c>
      <c r="B5" t="s">
        <v>32</v>
      </c>
      <c r="C5" t="s">
        <v>33</v>
      </c>
      <c r="D5" t="s">
        <v>34</v>
      </c>
      <c r="E5" t="s">
        <v>20</v>
      </c>
      <c r="F5" t="s">
        <v>35</v>
      </c>
      <c r="G5" t="s">
        <v>36</v>
      </c>
      <c r="H5" t="s">
        <v>37</v>
      </c>
    </row>
    <row r="6" spans="1:8" x14ac:dyDescent="0.2">
      <c r="A6" t="s">
        <v>38</v>
      </c>
      <c r="B6" t="s">
        <v>39</v>
      </c>
      <c r="C6" t="s">
        <v>40</v>
      </c>
      <c r="D6" t="s">
        <v>27</v>
      </c>
      <c r="E6" t="s">
        <v>41</v>
      </c>
      <c r="F6" t="s">
        <v>13</v>
      </c>
      <c r="G6" t="s">
        <v>42</v>
      </c>
      <c r="H6" t="s">
        <v>43</v>
      </c>
    </row>
    <row r="7" spans="1:8" x14ac:dyDescent="0.2">
      <c r="A7" t="s">
        <v>44</v>
      </c>
      <c r="B7" t="s">
        <v>45</v>
      </c>
      <c r="C7" t="s">
        <v>46</v>
      </c>
      <c r="D7" t="s">
        <v>27</v>
      </c>
      <c r="E7" t="s">
        <v>12</v>
      </c>
      <c r="F7" t="s">
        <v>47</v>
      </c>
      <c r="G7" t="s">
        <v>48</v>
      </c>
      <c r="H7" t="s">
        <v>37</v>
      </c>
    </row>
    <row r="8" spans="1:8" x14ac:dyDescent="0.2">
      <c r="A8" t="s">
        <v>49</v>
      </c>
      <c r="B8" t="s">
        <v>9</v>
      </c>
      <c r="C8" t="s">
        <v>50</v>
      </c>
      <c r="D8" t="s">
        <v>27</v>
      </c>
      <c r="E8" t="s">
        <v>20</v>
      </c>
      <c r="F8" t="s">
        <v>28</v>
      </c>
      <c r="G8" t="s">
        <v>51</v>
      </c>
      <c r="H8" t="s">
        <v>52</v>
      </c>
    </row>
    <row r="9" spans="1:8" x14ac:dyDescent="0.2">
      <c r="A9" t="s">
        <v>53</v>
      </c>
      <c r="B9" t="s">
        <v>39</v>
      </c>
      <c r="C9" t="s">
        <v>54</v>
      </c>
      <c r="D9" t="s">
        <v>34</v>
      </c>
      <c r="E9" t="s">
        <v>41</v>
      </c>
      <c r="F9" t="s">
        <v>55</v>
      </c>
      <c r="G9" t="s">
        <v>56</v>
      </c>
      <c r="H9" t="s">
        <v>57</v>
      </c>
    </row>
    <row r="10" spans="1:8" x14ac:dyDescent="0.2">
      <c r="A10" t="s">
        <v>58</v>
      </c>
      <c r="B10" t="s">
        <v>59</v>
      </c>
      <c r="C10" t="s">
        <v>60</v>
      </c>
      <c r="D10" t="s">
        <v>34</v>
      </c>
      <c r="E10" t="s">
        <v>61</v>
      </c>
      <c r="F10" t="s">
        <v>62</v>
      </c>
      <c r="G10" t="s">
        <v>63</v>
      </c>
      <c r="H10" t="s">
        <v>64</v>
      </c>
    </row>
    <row r="11" spans="1:8" x14ac:dyDescent="0.2">
      <c r="A11" t="s">
        <v>65</v>
      </c>
      <c r="B11" t="s">
        <v>66</v>
      </c>
      <c r="C11" t="s">
        <v>67</v>
      </c>
      <c r="D11" t="s">
        <v>68</v>
      </c>
      <c r="E11" t="s">
        <v>61</v>
      </c>
      <c r="F11" t="s">
        <v>69</v>
      </c>
      <c r="G11" t="s">
        <v>70</v>
      </c>
      <c r="H11" t="s">
        <v>37</v>
      </c>
    </row>
    <row r="12" spans="1:8" x14ac:dyDescent="0.2">
      <c r="A12" t="s">
        <v>71</v>
      </c>
      <c r="B12" t="s">
        <v>66</v>
      </c>
      <c r="C12" t="s">
        <v>72</v>
      </c>
      <c r="D12" t="s">
        <v>34</v>
      </c>
      <c r="E12" t="s">
        <v>73</v>
      </c>
      <c r="F12" t="s">
        <v>69</v>
      </c>
      <c r="G12" t="s">
        <v>74</v>
      </c>
      <c r="H12" t="s">
        <v>75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A3EB-692B-F348-8408-5E3BD95F7C9F}">
  <dimension ref="A6:G22"/>
  <sheetViews>
    <sheetView workbookViewId="0">
      <selection activeCell="A6" sqref="A6:G12"/>
    </sheetView>
  </sheetViews>
  <sheetFormatPr baseColWidth="10" defaultRowHeight="16" x14ac:dyDescent="0.2"/>
  <cols>
    <col min="1" max="1" width="10.33203125" bestFit="1" customWidth="1"/>
    <col min="2" max="2" width="16.5" customWidth="1"/>
    <col min="3" max="3" width="13.6640625" bestFit="1" customWidth="1"/>
    <col min="4" max="5" width="11.6640625" bestFit="1" customWidth="1"/>
    <col min="6" max="7" width="15.5" bestFit="1" customWidth="1"/>
  </cols>
  <sheetData>
    <row r="6" spans="1:7" x14ac:dyDescent="0.2">
      <c r="A6" s="6"/>
      <c r="B6" s="6"/>
      <c r="C6" s="5" t="s">
        <v>100</v>
      </c>
      <c r="D6" s="5"/>
      <c r="E6" s="5"/>
      <c r="F6" s="5"/>
      <c r="G6" s="5"/>
    </row>
    <row r="7" spans="1:7" x14ac:dyDescent="0.2">
      <c r="A7" s="6"/>
      <c r="B7" s="6"/>
      <c r="C7" s="7" t="s">
        <v>81</v>
      </c>
      <c r="D7" s="7" t="s">
        <v>82</v>
      </c>
      <c r="E7" s="7" t="s">
        <v>83</v>
      </c>
      <c r="F7" s="7" t="s">
        <v>84</v>
      </c>
      <c r="G7" s="7" t="s">
        <v>85</v>
      </c>
    </row>
    <row r="8" spans="1:7" x14ac:dyDescent="0.2">
      <c r="A8" s="5" t="s">
        <v>101</v>
      </c>
      <c r="B8" s="12" t="s">
        <v>76</v>
      </c>
      <c r="C8" s="8" t="s">
        <v>86</v>
      </c>
      <c r="D8" s="9" t="s">
        <v>87</v>
      </c>
      <c r="E8" s="9" t="s">
        <v>88</v>
      </c>
      <c r="F8" s="10" t="s">
        <v>89</v>
      </c>
      <c r="G8" s="10" t="s">
        <v>90</v>
      </c>
    </row>
    <row r="9" spans="1:7" x14ac:dyDescent="0.2">
      <c r="A9" s="5"/>
      <c r="B9" s="12" t="s">
        <v>77</v>
      </c>
      <c r="C9" s="8" t="s">
        <v>91</v>
      </c>
      <c r="D9" s="8" t="s">
        <v>96</v>
      </c>
      <c r="E9" s="9" t="s">
        <v>97</v>
      </c>
      <c r="F9" s="10" t="s">
        <v>99</v>
      </c>
      <c r="G9" s="10" t="s">
        <v>89</v>
      </c>
    </row>
    <row r="10" spans="1:7" x14ac:dyDescent="0.2">
      <c r="A10" s="5"/>
      <c r="B10" s="12" t="s">
        <v>78</v>
      </c>
      <c r="C10" s="11" t="s">
        <v>92</v>
      </c>
      <c r="D10" s="8" t="s">
        <v>95</v>
      </c>
      <c r="E10" s="8" t="s">
        <v>98</v>
      </c>
      <c r="F10" s="9" t="s">
        <v>97</v>
      </c>
      <c r="G10" s="9" t="s">
        <v>88</v>
      </c>
    </row>
    <row r="11" spans="1:7" x14ac:dyDescent="0.2">
      <c r="A11" s="5"/>
      <c r="B11" s="12" t="s">
        <v>79</v>
      </c>
      <c r="C11" s="11" t="s">
        <v>93</v>
      </c>
      <c r="D11" s="8" t="s">
        <v>91</v>
      </c>
      <c r="E11" s="8" t="s">
        <v>95</v>
      </c>
      <c r="F11" s="8" t="s">
        <v>96</v>
      </c>
      <c r="G11" s="9" t="s">
        <v>87</v>
      </c>
    </row>
    <row r="12" spans="1:7" x14ac:dyDescent="0.2">
      <c r="A12" s="5"/>
      <c r="B12" s="12" t="s">
        <v>80</v>
      </c>
      <c r="C12" s="11" t="s">
        <v>94</v>
      </c>
      <c r="D12" s="11" t="s">
        <v>93</v>
      </c>
      <c r="E12" s="11" t="s">
        <v>92</v>
      </c>
      <c r="F12" s="8" t="s">
        <v>91</v>
      </c>
      <c r="G12" s="8" t="s">
        <v>86</v>
      </c>
    </row>
    <row r="22" spans="6:6" x14ac:dyDescent="0.2">
      <c r="F22" s="2"/>
    </row>
  </sheetData>
  <mergeCells count="2">
    <mergeCell ref="C6:G6"/>
    <mergeCell ref="A8:A1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8ED8-0EB8-B743-9965-4C360D367AD9}">
  <dimension ref="B9:F17"/>
  <sheetViews>
    <sheetView workbookViewId="0">
      <selection activeCell="B13" sqref="B13:F17"/>
    </sheetView>
  </sheetViews>
  <sheetFormatPr baseColWidth="10" defaultRowHeight="16" x14ac:dyDescent="0.2"/>
  <cols>
    <col min="1" max="1" width="11" customWidth="1"/>
    <col min="2" max="2" width="13.5" customWidth="1"/>
    <col min="3" max="6" width="12.83203125" customWidth="1"/>
  </cols>
  <sheetData>
    <row r="9" spans="2:6" ht="13" customHeight="1" x14ac:dyDescent="0.2"/>
    <row r="10" spans="2:6" ht="14" hidden="1" x14ac:dyDescent="0.2"/>
    <row r="11" spans="2:6" hidden="1" x14ac:dyDescent="0.2"/>
    <row r="12" spans="2:6" ht="1" hidden="1" x14ac:dyDescent="0.2"/>
    <row r="13" spans="2:6" ht="68" customHeight="1" x14ac:dyDescent="0.2">
      <c r="B13" s="3" t="s">
        <v>105</v>
      </c>
      <c r="C13" s="15" t="s">
        <v>102</v>
      </c>
      <c r="D13" s="13" t="s">
        <v>58</v>
      </c>
      <c r="E13" s="13" t="s">
        <v>44</v>
      </c>
      <c r="F13" s="13" t="s">
        <v>16</v>
      </c>
    </row>
    <row r="14" spans="2:6" ht="68" x14ac:dyDescent="0.2">
      <c r="B14" s="3"/>
      <c r="C14" s="15" t="s">
        <v>103</v>
      </c>
      <c r="D14" s="13" t="s">
        <v>65</v>
      </c>
      <c r="E14" s="13" t="s">
        <v>31</v>
      </c>
      <c r="F14" s="14" t="s">
        <v>107</v>
      </c>
    </row>
    <row r="15" spans="2:6" ht="68" customHeight="1" x14ac:dyDescent="0.2">
      <c r="B15" s="3"/>
      <c r="C15" s="15" t="s">
        <v>104</v>
      </c>
      <c r="D15" s="13" t="s">
        <v>71</v>
      </c>
      <c r="E15" s="13"/>
      <c r="F15" s="14" t="s">
        <v>53</v>
      </c>
    </row>
    <row r="16" spans="2:6" ht="68" customHeight="1" x14ac:dyDescent="0.2">
      <c r="B16" s="4"/>
      <c r="C16" s="6"/>
      <c r="D16" s="15" t="s">
        <v>104</v>
      </c>
      <c r="E16" s="15" t="s">
        <v>103</v>
      </c>
      <c r="F16" s="15" t="s">
        <v>102</v>
      </c>
    </row>
    <row r="17" spans="2:6" ht="68" customHeight="1" x14ac:dyDescent="0.2">
      <c r="B17" s="4"/>
      <c r="C17" s="4"/>
      <c r="D17" s="3" t="s">
        <v>106</v>
      </c>
      <c r="E17" s="3"/>
      <c r="F17" s="3"/>
    </row>
  </sheetData>
  <mergeCells count="2">
    <mergeCell ref="B13:B15"/>
    <mergeCell ref="D17:F17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912D-6AD2-6849-91C4-20EC5E56EB5B}">
  <dimension ref="A1:I35"/>
  <sheetViews>
    <sheetView tabSelected="1" topLeftCell="A30" workbookViewId="0">
      <selection activeCell="N25" sqref="N25"/>
    </sheetView>
  </sheetViews>
  <sheetFormatPr baseColWidth="10" defaultRowHeight="16" x14ac:dyDescent="0.2"/>
  <cols>
    <col min="2" max="2" width="13.33203125" bestFit="1" customWidth="1"/>
    <col min="3" max="3" width="15.83203125" bestFit="1" customWidth="1"/>
    <col min="4" max="4" width="9.33203125" bestFit="1" customWidth="1"/>
    <col min="8" max="8" width="7.33203125" bestFit="1" customWidth="1"/>
    <col min="9" max="9" width="15.83203125" bestFit="1" customWidth="1"/>
  </cols>
  <sheetData>
    <row r="1" spans="1:4" x14ac:dyDescent="0.2">
      <c r="A1" s="16" t="s">
        <v>108</v>
      </c>
      <c r="B1" s="16" t="s">
        <v>109</v>
      </c>
      <c r="C1" s="16" t="s">
        <v>110</v>
      </c>
      <c r="D1" s="16" t="s">
        <v>111</v>
      </c>
    </row>
    <row r="2" spans="1:4" x14ac:dyDescent="0.2">
      <c r="A2" s="17">
        <v>45870</v>
      </c>
      <c r="B2" s="18">
        <v>20000</v>
      </c>
      <c r="C2" s="18">
        <v>20000</v>
      </c>
      <c r="D2" s="19">
        <v>4.2000000000000003E-2</v>
      </c>
    </row>
    <row r="3" spans="1:4" x14ac:dyDescent="0.2">
      <c r="A3" s="17">
        <v>45901</v>
      </c>
      <c r="B3" s="18">
        <v>30000</v>
      </c>
      <c r="C3" s="18">
        <v>50000</v>
      </c>
      <c r="D3" s="19">
        <v>0.104</v>
      </c>
    </row>
    <row r="4" spans="1:4" x14ac:dyDescent="0.2">
      <c r="A4" s="17">
        <v>45931</v>
      </c>
      <c r="B4" s="18">
        <v>40000</v>
      </c>
      <c r="C4" s="18">
        <v>90000</v>
      </c>
      <c r="D4" s="19">
        <v>0.188</v>
      </c>
    </row>
    <row r="5" spans="1:4" x14ac:dyDescent="0.2">
      <c r="A5" s="17">
        <v>45962</v>
      </c>
      <c r="B5" s="18">
        <v>40000</v>
      </c>
      <c r="C5" s="18">
        <v>130000</v>
      </c>
      <c r="D5" s="19">
        <v>0.27100000000000002</v>
      </c>
    </row>
    <row r="6" spans="1:4" x14ac:dyDescent="0.2">
      <c r="A6" s="17">
        <v>45992</v>
      </c>
      <c r="B6" s="18">
        <v>40000</v>
      </c>
      <c r="C6" s="18">
        <v>170000</v>
      </c>
      <c r="D6" s="19">
        <v>0.35399999999999998</v>
      </c>
    </row>
    <row r="7" spans="1:4" x14ac:dyDescent="0.2">
      <c r="A7" s="17">
        <v>46023</v>
      </c>
      <c r="B7" s="18">
        <v>45000</v>
      </c>
      <c r="C7" s="18">
        <v>215000</v>
      </c>
      <c r="D7" s="19">
        <v>0.44800000000000001</v>
      </c>
    </row>
    <row r="8" spans="1:4" x14ac:dyDescent="0.2">
      <c r="A8" s="17">
        <v>46054</v>
      </c>
      <c r="B8" s="18">
        <v>45000</v>
      </c>
      <c r="C8" s="18">
        <v>260000</v>
      </c>
      <c r="D8" s="19">
        <v>0.54200000000000004</v>
      </c>
    </row>
    <row r="9" spans="1:4" x14ac:dyDescent="0.2">
      <c r="A9" s="17">
        <v>46082</v>
      </c>
      <c r="B9" s="18">
        <v>45000</v>
      </c>
      <c r="C9" s="18">
        <v>305000</v>
      </c>
      <c r="D9" s="19">
        <v>0.63500000000000001</v>
      </c>
    </row>
    <row r="10" spans="1:4" x14ac:dyDescent="0.2">
      <c r="A10" s="17">
        <v>46113</v>
      </c>
      <c r="B10" s="18">
        <v>40000</v>
      </c>
      <c r="C10" s="18">
        <v>345000</v>
      </c>
      <c r="D10" s="19">
        <v>0.71899999999999997</v>
      </c>
    </row>
    <row r="11" spans="1:4" x14ac:dyDescent="0.2">
      <c r="A11" s="17">
        <v>46143</v>
      </c>
      <c r="B11" s="18">
        <v>35000</v>
      </c>
      <c r="C11" s="18">
        <v>380000</v>
      </c>
      <c r="D11" s="19">
        <v>0.79200000000000004</v>
      </c>
    </row>
    <row r="12" spans="1:4" x14ac:dyDescent="0.2">
      <c r="A12" s="17">
        <v>46174</v>
      </c>
      <c r="B12" s="18">
        <v>30000</v>
      </c>
      <c r="C12" s="18">
        <v>410000</v>
      </c>
      <c r="D12" s="19">
        <v>0.85399999999999998</v>
      </c>
    </row>
    <row r="13" spans="1:4" x14ac:dyDescent="0.2">
      <c r="A13" s="17">
        <v>46204</v>
      </c>
      <c r="B13" s="18">
        <v>25000</v>
      </c>
      <c r="C13" s="18">
        <v>435000</v>
      </c>
      <c r="D13" s="19">
        <v>0.90600000000000003</v>
      </c>
    </row>
    <row r="14" spans="1:4" x14ac:dyDescent="0.2">
      <c r="A14" s="17">
        <v>46235</v>
      </c>
      <c r="B14" s="18">
        <v>20000</v>
      </c>
      <c r="C14" s="18">
        <v>455000</v>
      </c>
      <c r="D14" s="19">
        <v>0.94799999999999995</v>
      </c>
    </row>
    <row r="15" spans="1:4" x14ac:dyDescent="0.2">
      <c r="A15" s="17">
        <v>46266</v>
      </c>
      <c r="B15" s="18">
        <v>15000</v>
      </c>
      <c r="C15" s="18">
        <v>470000</v>
      </c>
      <c r="D15" s="19">
        <v>0.97899999999999998</v>
      </c>
    </row>
    <row r="16" spans="1:4" x14ac:dyDescent="0.2">
      <c r="A16" s="17">
        <v>46296</v>
      </c>
      <c r="B16" s="18">
        <v>10000</v>
      </c>
      <c r="C16" s="18">
        <v>480000</v>
      </c>
      <c r="D16" s="20">
        <v>1</v>
      </c>
    </row>
    <row r="20" spans="8:9" x14ac:dyDescent="0.2">
      <c r="H20" s="16" t="s">
        <v>108</v>
      </c>
      <c r="I20" s="16" t="s">
        <v>110</v>
      </c>
    </row>
    <row r="21" spans="8:9" x14ac:dyDescent="0.2">
      <c r="H21" s="17">
        <v>45870</v>
      </c>
      <c r="I21" s="18">
        <v>20000</v>
      </c>
    </row>
    <row r="22" spans="8:9" x14ac:dyDescent="0.2">
      <c r="H22" s="17">
        <v>45901</v>
      </c>
      <c r="I22" s="18">
        <v>50000</v>
      </c>
    </row>
    <row r="23" spans="8:9" x14ac:dyDescent="0.2">
      <c r="H23" s="17">
        <v>45931</v>
      </c>
      <c r="I23" s="18">
        <v>90000</v>
      </c>
    </row>
    <row r="24" spans="8:9" x14ac:dyDescent="0.2">
      <c r="H24" s="17">
        <v>45962</v>
      </c>
      <c r="I24" s="18">
        <v>130000</v>
      </c>
    </row>
    <row r="25" spans="8:9" x14ac:dyDescent="0.2">
      <c r="H25" s="17">
        <v>45992</v>
      </c>
      <c r="I25" s="18">
        <v>170000</v>
      </c>
    </row>
    <row r="26" spans="8:9" x14ac:dyDescent="0.2">
      <c r="H26" s="17">
        <v>46023</v>
      </c>
      <c r="I26" s="18">
        <v>215000</v>
      </c>
    </row>
    <row r="27" spans="8:9" x14ac:dyDescent="0.2">
      <c r="H27" s="17">
        <v>46054</v>
      </c>
      <c r="I27" s="18">
        <v>260000</v>
      </c>
    </row>
    <row r="28" spans="8:9" x14ac:dyDescent="0.2">
      <c r="H28" s="17">
        <v>46082</v>
      </c>
      <c r="I28" s="18">
        <v>305000</v>
      </c>
    </row>
    <row r="29" spans="8:9" x14ac:dyDescent="0.2">
      <c r="H29" s="17">
        <v>46113</v>
      </c>
      <c r="I29" s="18">
        <v>345000</v>
      </c>
    </row>
    <row r="30" spans="8:9" x14ac:dyDescent="0.2">
      <c r="H30" s="17">
        <v>46143</v>
      </c>
      <c r="I30" s="18">
        <v>380000</v>
      </c>
    </row>
    <row r="31" spans="8:9" x14ac:dyDescent="0.2">
      <c r="H31" s="17">
        <v>46174</v>
      </c>
      <c r="I31" s="18">
        <v>410000</v>
      </c>
    </row>
    <row r="32" spans="8:9" x14ac:dyDescent="0.2">
      <c r="H32" s="17">
        <v>46204</v>
      </c>
      <c r="I32" s="18">
        <v>435000</v>
      </c>
    </row>
    <row r="33" spans="8:9" x14ac:dyDescent="0.2">
      <c r="H33" s="17">
        <v>46235</v>
      </c>
      <c r="I33" s="18">
        <v>455000</v>
      </c>
    </row>
    <row r="34" spans="8:9" x14ac:dyDescent="0.2">
      <c r="H34" s="17">
        <v>46266</v>
      </c>
      <c r="I34" s="18">
        <v>470000</v>
      </c>
    </row>
    <row r="35" spans="8:9" x14ac:dyDescent="0.2">
      <c r="H35" s="17">
        <v>46296</v>
      </c>
      <c r="I35" s="18">
        <v>480000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Gandhimani</dc:creator>
  <cp:lastModifiedBy>Bharath Gandhimani</cp:lastModifiedBy>
  <dcterms:created xsi:type="dcterms:W3CDTF">2025-09-14T13:35:31Z</dcterms:created>
  <dcterms:modified xsi:type="dcterms:W3CDTF">2025-09-17T13:45:52Z</dcterms:modified>
</cp:coreProperties>
</file>