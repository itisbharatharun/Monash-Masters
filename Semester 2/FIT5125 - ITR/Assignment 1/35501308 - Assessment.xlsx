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heisenberg/Downloads/Monash Assignments/Semester 2/FIT5125 - ITR/Assignment 1/"/>
    </mc:Choice>
  </mc:AlternateContent>
  <xr:revisionPtr revIDLastSave="0" documentId="13_ncr:1_{B9929E48-B648-A942-BD19-1D0F89454F3D}" xr6:coauthVersionLast="47" xr6:coauthVersionMax="47" xr10:uidLastSave="{00000000-0000-0000-0000-000000000000}"/>
  <bookViews>
    <workbookView xWindow="0" yWindow="500" windowWidth="51200" windowHeight="28300" xr2:uid="{4CE940AF-5F1F-424F-AC82-C46FCA3AEC3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F16" i="1"/>
  <c r="F14" i="1"/>
  <c r="F13" i="1"/>
  <c r="F12" i="1"/>
  <c r="F11" i="1"/>
  <c r="F10" i="1"/>
  <c r="F9" i="1"/>
  <c r="F8" i="1"/>
  <c r="F7" i="1"/>
  <c r="F6" i="1"/>
  <c r="F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6" authorId="0" shapeId="0" xr:uid="{6338897D-DACD-3A40-8467-B02B00724584}">
      <text>
        <r>
          <rPr>
            <sz val="12"/>
            <color rgb="FF000000"/>
            <rFont val="Aptos Narrow"/>
          </rPr>
          <t xml:space="preserve">======
</t>
        </r>
        <r>
          <rPr>
            <sz val="12"/>
            <color rgb="FF000000"/>
            <rFont val="Aptos Narrow"/>
          </rPr>
          <t xml:space="preserve">ID#AAABqP-l2DE
</t>
        </r>
        <r>
          <rPr>
            <sz val="12"/>
            <color rgb="FF000000"/>
            <rFont val="Aptos Narrow"/>
          </rPr>
          <t xml:space="preserve">tc={B21B396C-E693-374E-9FB1-AA801D1BA6E1}    (2025-08-30 19:06:47)
</t>
        </r>
        <r>
          <rPr>
            <sz val="12"/>
            <color rgb="FF000000"/>
            <rFont val="Aptos Narrow"/>
          </rPr>
          <t xml:space="preserve">[Threaded comment]
</t>
        </r>
        <r>
          <rPr>
            <sz val="12"/>
            <color rgb="FF000000"/>
            <rFont val="Aptos Narrow"/>
          </rPr>
          <t xml:space="preserve">
</t>
        </r>
        <r>
          <rPr>
            <sz val="12"/>
            <color rgb="FF000000"/>
            <rFont val="Aptos Narrow"/>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rPr>
          <t xml:space="preserve">
</t>
        </r>
        <r>
          <rPr>
            <sz val="12"/>
            <color rgb="FF000000"/>
            <rFont val="Aptos Narrow"/>
          </rPr>
          <t xml:space="preserve">Comment:
</t>
        </r>
        <r>
          <rPr>
            <sz val="12"/>
            <color rgb="FF000000"/>
            <rFont val="Aptos Narrow"/>
          </rPr>
          <t xml:space="preserve">    Note: Note: Ensure the URL is formatted as a clickable web link to allow your marker to access the source document.
</t>
        </r>
        <r>
          <rPr>
            <sz val="12"/>
            <color rgb="FF000000"/>
            <rFont val="Aptos Narrow"/>
          </rPr>
          <t xml:space="preserve">
</t>
        </r>
        <r>
          <rPr>
            <sz val="12"/>
            <color rgb="FF000000"/>
            <rFont val="Aptos Narrow"/>
          </rPr>
          <t>Note: Where a DOI is not available use a URL that is accessible through Monash University library.</t>
        </r>
      </text>
    </comment>
    <comment ref="C17" authorId="0" shapeId="0" xr:uid="{6799CA8C-78B4-0443-8CD2-EB799C456054}">
      <text>
        <r>
          <rPr>
            <sz val="12"/>
            <color theme="1"/>
            <rFont val="Aptos Narrow"/>
            <scheme val="minor"/>
          </rPr>
          <t>======
ID#AAABqP-l2DI
tc={6AB099DD-3F9C-D24F-A48F-F4F588B6E89A}    (2025-08-30 19:06:47)
[Threaded comment]
Your version of Excel allows you to read this threaded comment; however, any edits to it will get removed if the file is opened in a newer version of Excel. Learn more: https://go.microsoft.com/fwlink/?linkid=870924
Comment:
    Note: for patents you may simple provide a link to the record in Google patents (or another patent database), but ensure your link points to the English translation.
Note: Ensure that the patent database is either publicly accessible or accessible through Monash University library.</t>
        </r>
      </text>
    </comment>
  </commentList>
</comments>
</file>

<file path=xl/sharedStrings.xml><?xml version="1.0" encoding="utf-8"?>
<sst xmlns="http://schemas.openxmlformats.org/spreadsheetml/2006/main" count="64" uniqueCount="64">
  <si>
    <t>Student name:</t>
  </si>
  <si>
    <t>Bharath Arun Gandhimani</t>
  </si>
  <si>
    <t>Student  ID:</t>
  </si>
  <si>
    <t>Student email:</t>
  </si>
  <si>
    <t>bgan0012@student.monash.edu</t>
  </si>
  <si>
    <t>Year</t>
  </si>
  <si>
    <t>DOI-link or web link</t>
  </si>
  <si>
    <t>Title</t>
  </si>
  <si>
    <t>Justification for inclusion</t>
  </si>
  <si>
    <t>Word Count</t>
  </si>
  <si>
    <t>Paper 1 - System</t>
  </si>
  <si>
    <t>Evaluating Multi-party Multi-modal Systems</t>
  </si>
  <si>
    <t>This paper provides an insightful exploration of multi-party synchronous systems combining audio and video communication. It looks at how users interact in real-time, handling challenges like synchronization and multimodal data exchanges. For anyone researching early 2000s collaborative platforms, it offers valuable design and evaluation strategies, serving as an important reference point for systems like Kluster, especially in understanding foundational user communication and system behavior in a live setting.</t>
  </si>
  <si>
    <t>Paper 2 - System</t>
  </si>
  <si>
    <t>https://www.sciencedirect.com/topics/computer-science/collaborative-systems</t>
  </si>
  <si>
    <t>Collaborative Systems Overview</t>
  </si>
  <si>
    <t>This review captures the state of multi-user synchronous collaboration systems as understood in the year 2000. By covering the technological landscape of collaborative audio and video interactions, it situates how systems were designed to handle real-time communication. Its broad perspective helps contextualize modern synchronous communication platforms, providing necessary background on architectural decisions, communication protocols, and user experience design influential when considering Kluster’s roots and evolution.</t>
  </si>
  <si>
    <t>Paper 3 - Evaluation</t>
  </si>
  <si>
    <t>Developing Log Analysis for a Worldwide Distributed System</t>
  </si>
  <si>
    <t>In this paper, the authors develop detailed techniques for analyzing system logs in multi-party synchronous environments. The methodologies allow for deep evaluation of system health, performance bottlenecks, and participant engagement. It is a cornerstone work for understanding how log data can feed into reflective evaluations of real-time collaborative software like Kluster, guiding developers on how to extract meaningful analytics from vast amounts of runtime data.</t>
  </si>
  <si>
    <t>Paper 4 - Evaluation</t>
  </si>
  <si>
    <t>https://www.cambridge.org/core/journals/perspectives-on-politics/article/party-systems-inequality-and-redistribution/A8C18D4F4469139CE91C21039870B1F3</t>
  </si>
  <si>
    <t>Party Systems, Inequality, and Redistribution</t>
  </si>
  <si>
    <t>This paper, while focusing on political discourse, uses synchronous debate platforms to evaluate group engagement and participation patterns, providing robust frameworks for measuring interaction quality in multi-party settings. The evaluation tools and conceptual models shared are transferable to technology-driven collaborative platforms like Kluster, especially when analyzing how individuals contribute and engage in real-time group conversations, thus enriching approaches to group dynamics assessments.</t>
  </si>
  <si>
    <t>Patent 1</t>
  </si>
  <si>
    <t>https://patents.google.com/patent/US5689641A/en</t>
  </si>
  <si>
    <t>Multimedia collaboration system with synchronous communication</t>
  </si>
  <si>
    <t>This patent describes a pioneering multimedia collaboration system enabling multiple users to communicate synchronously via audio and video, with features such as live group editing and session control. These foundational inventions align perfectly with Kluster’s existing core capabilities, making the patent a direct reference for commercialisation or functional expansion. It supports understanding patent-protected methods essential for building similar interactive collaboration platforms while highlighting key technical components central to synchronous systems.</t>
  </si>
  <si>
    <t>Paper 5 - System</t>
  </si>
  <si>
    <t>https://openresearch.newcastle.edu.au/articles/journal_contribution/Design_and_evaluation_of_a_scalable_real-time_online_digital_audio_workstation_collaboration_framework/29031059</t>
  </si>
  <si>
    <t>Design and Evaluation of a Scalable Real-time Online Digital Audio Workstation Collaboration Framework</t>
  </si>
  <si>
    <t>This paper introduces a sophisticated real-time multi-party audio collaboration framework, emphasizing scalability and system architecture optimization. Its practical evaluation results and system design considerations provide crucial insights into managing latency and concurrency in complex synchronous environments. For Kluster-inspired systems, this work offers valuable guidance on scalability challenges and architectural solutions that enhance synchronous audio collaboration across many users.</t>
  </si>
  <si>
    <t>Paper 6 - System</t>
  </si>
  <si>
    <t>https://computermusic.org.au/proceedings/ACMC2018-proceedings/11Stickland.pdf</t>
  </si>
  <si>
    <t>A Framework for Real-Time Online Collaboration in Music</t>
  </si>
  <si>
    <t>Focused on synchronous audio collaboration in musical contexts, this paper explores real-time latency management, session control, and user synchronization across geographically distributed players. These specialized system insights are directly applicable to improving Kluster’s synchronous audio features, particularly in enhancing user experience and session fluidity during collaborative real-time activities involving multiple participants.</t>
  </si>
  <si>
    <t>Paper 7 - Evaluation</t>
  </si>
  <si>
    <t>https://par.nsf.gov/servlets/purl/10310334</t>
  </si>
  <si>
    <t>Multi-source log clustering in distributed systems</t>
  </si>
  <si>
    <t>This evaluation study presents advanced clustering techniques to analyze system logs from multi-party synchronous media systems, enabling the detection of usage patterns, response times, and user engagement. Its multi-source approach for log analytics provides an effective foundation for evaluating operational reliability and network efficiency in collaborative video and audio environments resembling Kluster’s infrastructure.</t>
  </si>
  <si>
    <t>Paper 8 - Evaluation</t>
  </si>
  <si>
    <t>https://www.nature.com/articles/s41597-025-04987-w</t>
  </si>
  <si>
    <t>A Video Dataset for Classroom Group Engagement</t>
  </si>
  <si>
    <t>This research develops and uses large-scale video datasets to rigorously assess group engagement in synchronous collaboration settings. It focuses on metrics such as gaze, gesture, and behavioral cues that quantify active participation. The methods and findings provide rich, quantitative measurement frameworks directly relevant for evaluating engagement in real-time collaborative video and audio systems like Kluster.</t>
  </si>
  <si>
    <t>Patent 2</t>
  </si>
  <si>
    <t>https://patents.google.com/patent/US9219959B2/en</t>
  </si>
  <si>
    <t>Multi-channel pairing in a media system</t>
  </si>
  <si>
    <t>This patent introduces a technique for dynamically pairing multiple users in real-time media collaboration environments. Its methods support flexible grouping and load balancing that can improve synchronous participation and user experience in platforms like Kluster. The patented innovation offers a strategic advantage when designing advanced dynamic interaction and session management features in multi-user synchronous video and audio systems.</t>
  </si>
  <si>
    <t>Paper (format example)</t>
  </si>
  <si>
    <t>https://doi.org/10.1046/j.1467-2979.2002.00090.x</t>
  </si>
  <si>
    <t>By‐catch begone: changes in the philosophy of fishing technology</t>
  </si>
  <si>
    <t>This is where you write you 150 words justification about this paper of fishing technology.</t>
  </si>
  <si>
    <t>Patent  (format example)</t>
  </si>
  <si>
    <t>https://patents.google.com/patent/JP3252422U/en?q=(fishing+technology)&amp;before=priority:20251231&amp;after=priority:20250101&amp;oq=fishing+technology+2025&amp;dups=language</t>
  </si>
  <si>
    <t>Fish attracting capsule for personal fishing</t>
  </si>
  <si>
    <t>This is where you write you 150 words justification about the fishing technology patent and nothing else.</t>
  </si>
  <si>
    <t>PAPERS</t>
  </si>
  <si>
    <t>Note: Ensure the URL is formatted as a clickable web link to allow your marker to access the source document.</t>
  </si>
  <si>
    <t>Note: Ensure that the  DOI or other weblink is either public or accessible through Monash University library.</t>
  </si>
  <si>
    <t>PATENTS</t>
  </si>
  <si>
    <t>Note: for patents you may simple provide a URL for the record in Google patents (or another patent database), but ensure your link points to the English translation.</t>
  </si>
  <si>
    <t>Note: Ensure that the patent database you use is either public or accessible through Monash University library.</t>
  </si>
  <si>
    <t>http://www.lrec-conf.org/proceedings/lrec2000/pdf/368.pdf</t>
  </si>
  <si>
    <t>35501308 - Assigment-1B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</si>
</sst>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u/>
      <sz val="12"/>
      <color theme="10"/>
      <name val="Aptos Narrow"/>
      <family val="2"/>
      <scheme val="minor"/>
    </font>
    <font>
      <b/>
      <sz val="12"/>
      <color theme="1"/>
      <name val="Aptos Narrow"/>
    </font>
    <font>
      <sz val="12"/>
      <color theme="1"/>
      <name val="Aptos Narrow"/>
    </font>
    <font>
      <sz val="10.5"/>
      <color theme="1"/>
      <name val="Helvetica Neue"/>
      <family val="2"/>
    </font>
    <font>
      <sz val="12"/>
      <color rgb="FF215E99"/>
      <name val="Aptos Narrow"/>
    </font>
    <font>
      <u/>
      <sz val="12"/>
      <color theme="10"/>
      <name val="Aptos Narrow"/>
    </font>
    <font>
      <b/>
      <sz val="12"/>
      <color rgb="FFFF0000"/>
      <name val="Aptos Narrow"/>
    </font>
    <font>
      <sz val="12"/>
      <name val="Aptos Narrow"/>
    </font>
    <font>
      <sz val="12"/>
      <color rgb="FF000000"/>
      <name val="Aptos Narrow"/>
    </font>
    <font>
      <sz val="12"/>
      <color theme="1"/>
      <name val="Aptos Narrow"/>
      <scheme val="minor"/>
    </font>
  </fonts>
  <fills count="6">
    <fill>
      <patternFill patternType="none"/>
    </fill>
    <fill>
      <patternFill patternType="gray125"/>
    </fill>
    <fill>
      <patternFill patternType="solid">
        <fgColor rgb="FFD8D8D8"/>
        <bgColor rgb="FFD8D8D8"/>
      </patternFill>
    </fill>
    <fill>
      <patternFill patternType="solid">
        <fgColor rgb="FFDBE9F7"/>
        <bgColor rgb="FFDBE9F7"/>
      </patternFill>
    </fill>
    <fill>
      <patternFill patternType="solid">
        <fgColor rgb="FFFFB1D2"/>
        <bgColor rgb="FFFFB1D2"/>
      </patternFill>
    </fill>
    <fill>
      <patternFill patternType="solid">
        <fgColor rgb="FFF9DAE6"/>
        <bgColor rgb="FFF9DAE6"/>
      </patternFill>
    </fill>
  </fills>
  <borders count="2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2" fillId="2" borderId="1" xfId="0" applyFont="1" applyFill="1" applyBorder="1" applyAlignment="1">
      <alignment vertical="top"/>
    </xf>
    <xf numFmtId="0" fontId="2" fillId="0" borderId="2" xfId="0" applyFont="1" applyBorder="1" applyAlignment="1" applyProtection="1">
      <alignment horizontal="left" vertical="top"/>
      <protection locked="0"/>
    </xf>
    <xf numFmtId="0" fontId="3" fillId="2" borderId="3" xfId="0" applyFont="1" applyFill="1" applyBorder="1" applyAlignment="1">
      <alignment vertical="top" wrapText="1"/>
    </xf>
    <xf numFmtId="0" fontId="3" fillId="2" borderId="3" xfId="0" applyFont="1" applyFill="1" applyBorder="1" applyAlignment="1">
      <alignment vertical="top"/>
    </xf>
    <xf numFmtId="0" fontId="3" fillId="2" borderId="4" xfId="0" applyFont="1" applyFill="1" applyBorder="1" applyAlignment="1">
      <alignment vertical="top"/>
    </xf>
    <xf numFmtId="0" fontId="2" fillId="2" borderId="5" xfId="0" applyFont="1" applyFill="1" applyBorder="1" applyAlignment="1">
      <alignment vertical="top"/>
    </xf>
    <xf numFmtId="0" fontId="2" fillId="0" borderId="6" xfId="0" applyFont="1" applyBorder="1" applyAlignment="1" applyProtection="1">
      <alignment horizontal="left" vertical="top"/>
      <protection locked="0"/>
    </xf>
    <xf numFmtId="0" fontId="3" fillId="2" borderId="0" xfId="0" applyFont="1" applyFill="1" applyAlignment="1">
      <alignment vertical="top" wrapText="1"/>
    </xf>
    <xf numFmtId="0" fontId="3" fillId="2" borderId="0" xfId="0" applyFont="1" applyFill="1" applyAlignment="1">
      <alignment vertical="top"/>
    </xf>
    <xf numFmtId="0" fontId="3" fillId="2" borderId="7" xfId="0" applyFont="1" applyFill="1" applyBorder="1" applyAlignment="1">
      <alignment vertical="top"/>
    </xf>
    <xf numFmtId="0" fontId="3" fillId="2" borderId="8" xfId="0" applyFont="1" applyFill="1" applyBorder="1" applyAlignment="1">
      <alignment vertical="top" wrapText="1"/>
    </xf>
    <xf numFmtId="0" fontId="2" fillId="2" borderId="6" xfId="0" applyFont="1" applyFill="1" applyBorder="1" applyAlignment="1">
      <alignment vertical="top"/>
    </xf>
    <xf numFmtId="0" fontId="2" fillId="2" borderId="6" xfId="0" applyFont="1" applyFill="1" applyBorder="1" applyAlignment="1">
      <alignment vertical="top" wrapText="1"/>
    </xf>
    <xf numFmtId="0" fontId="2" fillId="2" borderId="9" xfId="0" applyFont="1" applyFill="1" applyBorder="1" applyAlignment="1">
      <alignment vertical="top"/>
    </xf>
    <xf numFmtId="0" fontId="2" fillId="2" borderId="5" xfId="0" applyFont="1" applyFill="1" applyBorder="1" applyAlignment="1">
      <alignment horizontal="left" vertical="top"/>
    </xf>
    <xf numFmtId="0" fontId="4" fillId="0" borderId="0" xfId="0" applyFont="1" applyAlignment="1" applyProtection="1">
      <alignment horizontal="left" vertical="top"/>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0" fontId="3" fillId="2" borderId="9" xfId="0" applyFont="1" applyFill="1" applyBorder="1" applyAlignment="1">
      <alignment vertical="top"/>
    </xf>
    <xf numFmtId="0" fontId="2" fillId="2" borderId="10" xfId="0" applyFont="1" applyFill="1" applyBorder="1"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left" vertical="top" wrapText="1"/>
    </xf>
    <xf numFmtId="0" fontId="5" fillId="3" borderId="5" xfId="0" applyFont="1" applyFill="1" applyBorder="1" applyAlignment="1">
      <alignment horizontal="left" vertical="top"/>
    </xf>
    <xf numFmtId="0" fontId="5" fillId="3" borderId="6" xfId="0" applyFont="1" applyFill="1" applyBorder="1" applyAlignment="1">
      <alignment horizontal="left" vertical="top"/>
    </xf>
    <xf numFmtId="0" fontId="6" fillId="3" borderId="6"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9" xfId="0" applyFont="1" applyFill="1" applyBorder="1" applyAlignment="1">
      <alignment vertical="top"/>
    </xf>
    <xf numFmtId="0" fontId="5" fillId="3" borderId="11" xfId="0" applyFont="1" applyFill="1" applyBorder="1" applyAlignment="1">
      <alignment horizontal="left" vertical="top"/>
    </xf>
    <xf numFmtId="0" fontId="5" fillId="3" borderId="12" xfId="0" applyFont="1" applyFill="1" applyBorder="1" applyAlignment="1">
      <alignment horizontal="left" vertical="top"/>
    </xf>
    <xf numFmtId="0" fontId="6" fillId="3" borderId="12" xfId="0" applyFont="1" applyFill="1" applyBorder="1" applyAlignment="1">
      <alignment horizontal="left" vertical="top" wrapText="1"/>
    </xf>
    <xf numFmtId="0" fontId="5" fillId="3" borderId="12" xfId="0" applyFont="1" applyFill="1" applyBorder="1" applyAlignment="1">
      <alignment horizontal="left" vertical="top" wrapText="1"/>
    </xf>
    <xf numFmtId="0" fontId="5" fillId="3" borderId="13" xfId="0" applyFont="1" applyFill="1" applyBorder="1" applyAlignment="1">
      <alignment vertical="top"/>
    </xf>
    <xf numFmtId="0" fontId="7" fillId="4" borderId="14" xfId="0" applyFont="1" applyFill="1" applyBorder="1" applyAlignment="1">
      <alignment horizontal="left" vertical="center" wrapText="1"/>
    </xf>
    <xf numFmtId="0" fontId="8" fillId="0" borderId="15" xfId="0" applyFont="1" applyBorder="1"/>
    <xf numFmtId="0" fontId="8" fillId="0" borderId="16" xfId="0" applyFont="1" applyBorder="1"/>
    <xf numFmtId="0" fontId="7" fillId="5" borderId="17" xfId="0" applyFont="1" applyFill="1" applyBorder="1" applyAlignment="1">
      <alignment horizontal="left" vertical="center" wrapText="1"/>
    </xf>
    <xf numFmtId="0" fontId="8" fillId="0" borderId="8" xfId="0" applyFont="1" applyBorder="1"/>
    <xf numFmtId="0" fontId="8" fillId="0" borderId="18" xfId="0" applyFont="1" applyBorder="1"/>
    <xf numFmtId="0" fontId="7" fillId="5" borderId="10" xfId="0" applyFont="1" applyFill="1" applyBorder="1" applyAlignment="1">
      <alignment horizontal="left" vertical="center" wrapText="1"/>
    </xf>
    <xf numFmtId="0" fontId="8" fillId="0" borderId="0" xfId="0" applyFont="1"/>
    <xf numFmtId="0" fontId="8" fillId="0" borderId="7" xfId="0" applyFont="1" applyBorder="1"/>
    <xf numFmtId="0" fontId="7" fillId="5" borderId="19" xfId="0" applyFont="1" applyFill="1" applyBorder="1" applyAlignment="1">
      <alignment horizontal="left" vertical="center" wrapText="1"/>
    </xf>
    <xf numFmtId="0" fontId="8" fillId="0" borderId="20" xfId="0" applyFont="1" applyBorder="1"/>
    <xf numFmtId="0" fontId="8" fillId="0" borderId="21" xfId="0" applyFont="1" applyBorder="1"/>
    <xf numFmtId="0" fontId="1" fillId="0" borderId="0" xfId="1" applyAlignment="1" applyProtection="1">
      <alignment horizontal="left" vertical="top"/>
      <protection locked="0"/>
    </xf>
    <xf numFmtId="0" fontId="1" fillId="0" borderId="0" xfId="1" applyAlignment="1" applyProtection="1">
      <alignment vertical="top"/>
      <protection locked="0"/>
    </xf>
    <xf numFmtId="0" fontId="1" fillId="0" borderId="0" xfId="1"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r.nsf.gov/servlets/purl/10310334" TargetMode="External"/><Relationship Id="rId13" Type="http://schemas.openxmlformats.org/officeDocument/2006/relationships/comments" Target="../comments1.xml"/><Relationship Id="rId3" Type="http://schemas.openxmlformats.org/officeDocument/2006/relationships/hyperlink" Target="https://www.sciencedirect.com/topics/computer-science/collaborative-systems" TargetMode="External"/><Relationship Id="rId7" Type="http://schemas.openxmlformats.org/officeDocument/2006/relationships/hyperlink" Target="https://computermusic.org.au/proceedings/ACMC2018-proceedings/11Stickland.pdf" TargetMode="External"/><Relationship Id="rId12" Type="http://schemas.openxmlformats.org/officeDocument/2006/relationships/vmlDrawing" Target="../drawings/vmlDrawing1.vml"/><Relationship Id="rId2" Type="http://schemas.openxmlformats.org/officeDocument/2006/relationships/hyperlink" Target="https://patents.google.com/patent/JP3252422U/en?q=(fishing+technology)&amp;before=priority:20251231&amp;after=priority:20250101&amp;oq=fishing+technology+2025&amp;dups=language" TargetMode="External"/><Relationship Id="rId1" Type="http://schemas.openxmlformats.org/officeDocument/2006/relationships/hyperlink" Target="https://doi.org/10.1046/j.1467-2979.2002.00090.x" TargetMode="External"/><Relationship Id="rId6" Type="http://schemas.openxmlformats.org/officeDocument/2006/relationships/hyperlink" Target="https://openresearch.newcastle.edu.au/articles/journal_contribution/Design_and_evaluation_of_a_scalable_real-time_online_digital_audio_workstation_collaboration_framework/29031059" TargetMode="External"/><Relationship Id="rId11" Type="http://schemas.openxmlformats.org/officeDocument/2006/relationships/hyperlink" Target="http://www.lrec-conf.org/proceedings/lrec2000/pdf/368.pdf" TargetMode="External"/><Relationship Id="rId5" Type="http://schemas.openxmlformats.org/officeDocument/2006/relationships/hyperlink" Target="https://patents.google.com/patent/US5689641A/en" TargetMode="External"/><Relationship Id="rId10" Type="http://schemas.openxmlformats.org/officeDocument/2006/relationships/hyperlink" Target="https://patents.google.com/patent/US9219959B2/en" TargetMode="External"/><Relationship Id="rId4" Type="http://schemas.openxmlformats.org/officeDocument/2006/relationships/hyperlink" Target="https://www.cambridge.org/core/journals/perspectives-on-politics/article/party-systems-inequality-and-redistribution/A8C18D4F4469139CE91C21039870B1F3" TargetMode="External"/><Relationship Id="rId9" Type="http://schemas.openxmlformats.org/officeDocument/2006/relationships/hyperlink" Target="https://www.nature.com/articles/s41597-025-04987-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2C89-1B6A-6044-ACE8-32FEFB553A2A}">
  <dimension ref="A1:F23"/>
  <sheetViews>
    <sheetView tabSelected="1" workbookViewId="0">
      <selection activeCell="C7" sqref="C7"/>
    </sheetView>
  </sheetViews>
  <sheetFormatPr baseColWidth="10" defaultRowHeight="16"/>
  <cols>
    <col min="1" max="1" width="21.1640625" bestFit="1" customWidth="1"/>
    <col min="2" max="2" width="28.1640625" bestFit="1" customWidth="1"/>
    <col min="3" max="3" width="68.33203125" bestFit="1" customWidth="1"/>
    <col min="4" max="4" width="36.1640625" customWidth="1"/>
    <col min="5" max="5" width="129.1640625" customWidth="1"/>
  </cols>
  <sheetData>
    <row r="1" spans="1:6">
      <c r="A1" s="1" t="s">
        <v>0</v>
      </c>
      <c r="B1" s="2" t="s">
        <v>1</v>
      </c>
      <c r="C1" s="3"/>
      <c r="D1" s="4"/>
      <c r="E1" s="4"/>
      <c r="F1" s="5"/>
    </row>
    <row r="2" spans="1:6">
      <c r="A2" s="6" t="s">
        <v>2</v>
      </c>
      <c r="B2" s="7">
        <v>35501308</v>
      </c>
      <c r="C2" s="8"/>
      <c r="D2" s="9"/>
      <c r="E2" s="9"/>
      <c r="F2" s="10"/>
    </row>
    <row r="3" spans="1:6">
      <c r="A3" s="6" t="s">
        <v>3</v>
      </c>
      <c r="B3" s="7" t="s">
        <v>4</v>
      </c>
      <c r="C3" s="11"/>
      <c r="D3" s="9"/>
      <c r="E3" s="9"/>
      <c r="F3" s="10"/>
    </row>
    <row r="4" spans="1:6" ht="17">
      <c r="A4" s="6"/>
      <c r="B4" s="12" t="s">
        <v>5</v>
      </c>
      <c r="C4" s="13" t="s">
        <v>6</v>
      </c>
      <c r="D4" s="12" t="s">
        <v>7</v>
      </c>
      <c r="E4" s="12" t="s">
        <v>8</v>
      </c>
      <c r="F4" s="14" t="s">
        <v>9</v>
      </c>
    </row>
    <row r="5" spans="1:6" ht="60">
      <c r="A5" s="15" t="s">
        <v>10</v>
      </c>
      <c r="B5" s="16">
        <v>2000</v>
      </c>
      <c r="C5" s="45" t="s">
        <v>62</v>
      </c>
      <c r="D5" s="17" t="s">
        <v>11</v>
      </c>
      <c r="E5" s="18" t="s">
        <v>12</v>
      </c>
      <c r="F5" s="19">
        <f t="shared" ref="F5:F14" si="0">IF(LEN(TRIM(E5))=0,0,LEN(TRIM(E5))-LEN(SUBSTITUTE(E5," ",""))+1)</f>
        <v>68</v>
      </c>
    </row>
    <row r="6" spans="1:6" ht="60">
      <c r="A6" s="15" t="s">
        <v>13</v>
      </c>
      <c r="B6" s="16">
        <v>2000</v>
      </c>
      <c r="C6" s="46" t="s">
        <v>14</v>
      </c>
      <c r="D6" s="18" t="s">
        <v>15</v>
      </c>
      <c r="E6" s="18" t="s">
        <v>16</v>
      </c>
      <c r="F6" s="19">
        <f t="shared" si="0"/>
        <v>65</v>
      </c>
    </row>
    <row r="7" spans="1:6" ht="60">
      <c r="A7" s="15" t="s">
        <v>17</v>
      </c>
      <c r="B7" s="16">
        <v>2000</v>
      </c>
      <c r="C7" s="47" t="s">
        <v>63</v>
      </c>
      <c r="D7" s="17" t="s">
        <v>18</v>
      </c>
      <c r="E7" s="18" t="s">
        <v>19</v>
      </c>
      <c r="F7" s="19">
        <f t="shared" si="0"/>
        <v>65</v>
      </c>
    </row>
    <row r="8" spans="1:6" ht="60">
      <c r="A8" s="15" t="s">
        <v>20</v>
      </c>
      <c r="B8" s="16">
        <v>2000</v>
      </c>
      <c r="C8" s="47" t="s">
        <v>21</v>
      </c>
      <c r="D8" s="17" t="s">
        <v>22</v>
      </c>
      <c r="E8" s="18" t="s">
        <v>23</v>
      </c>
      <c r="F8" s="19">
        <f t="shared" si="0"/>
        <v>62</v>
      </c>
    </row>
    <row r="9" spans="1:6" ht="60">
      <c r="A9" s="15" t="s">
        <v>24</v>
      </c>
      <c r="B9" s="16">
        <v>2000</v>
      </c>
      <c r="C9" s="47" t="s">
        <v>25</v>
      </c>
      <c r="D9" s="17" t="s">
        <v>26</v>
      </c>
      <c r="E9" s="18" t="s">
        <v>27</v>
      </c>
      <c r="F9" s="19">
        <f t="shared" si="0"/>
        <v>70</v>
      </c>
    </row>
    <row r="10" spans="1:6" ht="60">
      <c r="A10" s="15" t="s">
        <v>28</v>
      </c>
      <c r="B10" s="16">
        <v>2015</v>
      </c>
      <c r="C10" s="47" t="s">
        <v>29</v>
      </c>
      <c r="D10" s="17" t="s">
        <v>30</v>
      </c>
      <c r="E10" s="17" t="s">
        <v>31</v>
      </c>
      <c r="F10" s="19">
        <f t="shared" si="0"/>
        <v>58</v>
      </c>
    </row>
    <row r="11" spans="1:6" ht="45">
      <c r="A11" s="15" t="s">
        <v>32</v>
      </c>
      <c r="B11" s="16">
        <v>2015</v>
      </c>
      <c r="C11" s="47" t="s">
        <v>33</v>
      </c>
      <c r="D11" s="17" t="s">
        <v>34</v>
      </c>
      <c r="E11" s="17" t="s">
        <v>35</v>
      </c>
      <c r="F11" s="19">
        <f t="shared" si="0"/>
        <v>51</v>
      </c>
    </row>
    <row r="12" spans="1:6" ht="45">
      <c r="A12" s="15" t="s">
        <v>36</v>
      </c>
      <c r="B12" s="16">
        <v>2015</v>
      </c>
      <c r="C12" s="47" t="s">
        <v>37</v>
      </c>
      <c r="D12" s="17" t="s">
        <v>38</v>
      </c>
      <c r="E12" s="17" t="s">
        <v>39</v>
      </c>
      <c r="F12" s="19">
        <f>IF(LEN(TRIM(E12))=0,0,LEN(TRIM(E12))-LEN(SUBSTITUTE(E12," ",""))+1)</f>
        <v>53</v>
      </c>
    </row>
    <row r="13" spans="1:6" ht="45">
      <c r="A13" s="15" t="s">
        <v>40</v>
      </c>
      <c r="B13" s="16">
        <v>2015</v>
      </c>
      <c r="C13" s="47" t="s">
        <v>41</v>
      </c>
      <c r="D13" s="17" t="s">
        <v>42</v>
      </c>
      <c r="E13" s="17" t="s">
        <v>43</v>
      </c>
      <c r="F13" s="19">
        <f>IF(LEN(TRIM(E13))=0,0,LEN(TRIM(E13))-LEN(SUBSTITUTE(E13," ",""))+1)</f>
        <v>55</v>
      </c>
    </row>
    <row r="14" spans="1:6" ht="60">
      <c r="A14" s="15" t="s">
        <v>44</v>
      </c>
      <c r="B14" s="16">
        <v>2015</v>
      </c>
      <c r="C14" s="47" t="s">
        <v>45</v>
      </c>
      <c r="D14" s="17" t="s">
        <v>46</v>
      </c>
      <c r="E14" s="17" t="s">
        <v>47</v>
      </c>
      <c r="F14" s="19">
        <f t="shared" si="0"/>
        <v>58</v>
      </c>
    </row>
    <row r="15" spans="1:6">
      <c r="A15" s="20"/>
      <c r="B15" s="21"/>
      <c r="C15" s="22"/>
      <c r="D15" s="22"/>
      <c r="E15" s="22"/>
      <c r="F15" s="10"/>
    </row>
    <row r="16" spans="1:6" ht="34">
      <c r="A16" s="23" t="s">
        <v>48</v>
      </c>
      <c r="B16" s="24">
        <v>2025</v>
      </c>
      <c r="C16" s="25" t="s">
        <v>49</v>
      </c>
      <c r="D16" s="26" t="s">
        <v>50</v>
      </c>
      <c r="E16" s="26" t="s">
        <v>51</v>
      </c>
      <c r="F16" s="27">
        <f>IF(LEN(TRIM(E16))=0,0,LEN(TRIM(E16))-LEN(SUBSTITUTE(E16," ",""))+1)</f>
        <v>15</v>
      </c>
    </row>
    <row r="17" spans="1:6" ht="52" thickBot="1">
      <c r="A17" s="28" t="s">
        <v>52</v>
      </c>
      <c r="B17" s="29">
        <v>2025</v>
      </c>
      <c r="C17" s="30" t="s">
        <v>53</v>
      </c>
      <c r="D17" s="31" t="s">
        <v>54</v>
      </c>
      <c r="E17" s="31" t="s">
        <v>55</v>
      </c>
      <c r="F17" s="32">
        <f>IF(LEN(TRIM(C17))=0,0,LEN(TRIM(C17))-LEN(SUBSTITUTE(C17," ",""))+1)+IF(LEN(TRIM(E17))=0,0,LEN(TRIM(E17))-LEN(SUBSTITUTE(E17," ",""))+1)</f>
        <v>18</v>
      </c>
    </row>
    <row r="18" spans="1:6" ht="17" thickBot="1">
      <c r="A18" s="33" t="s">
        <v>56</v>
      </c>
      <c r="B18" s="34"/>
      <c r="C18" s="34"/>
      <c r="D18" s="34"/>
      <c r="E18" s="34"/>
      <c r="F18" s="35"/>
    </row>
    <row r="19" spans="1:6">
      <c r="A19" s="36" t="s">
        <v>57</v>
      </c>
      <c r="B19" s="37"/>
      <c r="C19" s="37"/>
      <c r="D19" s="37"/>
      <c r="E19" s="37"/>
      <c r="F19" s="38"/>
    </row>
    <row r="20" spans="1:6" ht="17" thickBot="1">
      <c r="A20" s="39" t="s">
        <v>58</v>
      </c>
      <c r="B20" s="40"/>
      <c r="C20" s="40"/>
      <c r="D20" s="40"/>
      <c r="E20" s="40"/>
      <c r="F20" s="41"/>
    </row>
    <row r="21" spans="1:6" ht="17" thickBot="1">
      <c r="A21" s="33" t="s">
        <v>59</v>
      </c>
      <c r="B21" s="34"/>
      <c r="C21" s="34"/>
      <c r="D21" s="34"/>
      <c r="E21" s="34"/>
      <c r="F21" s="35"/>
    </row>
    <row r="22" spans="1:6">
      <c r="A22" s="39" t="s">
        <v>60</v>
      </c>
      <c r="B22" s="40"/>
      <c r="C22" s="40"/>
      <c r="D22" s="40"/>
      <c r="E22" s="40"/>
      <c r="F22" s="41"/>
    </row>
    <row r="23" spans="1:6" ht="17" thickBot="1">
      <c r="A23" s="42" t="s">
        <v>61</v>
      </c>
      <c r="B23" s="43"/>
      <c r="C23" s="43"/>
      <c r="D23" s="43"/>
      <c r="E23" s="43"/>
      <c r="F23" s="44"/>
    </row>
  </sheetData>
  <mergeCells count="6">
    <mergeCell ref="A18:F18"/>
    <mergeCell ref="A19:F19"/>
    <mergeCell ref="A20:F20"/>
    <mergeCell ref="A21:F21"/>
    <mergeCell ref="A22:F22"/>
    <mergeCell ref="A23:F23"/>
  </mergeCells>
  <hyperlinks>
    <hyperlink ref="C16" r:id="rId1" xr:uid="{30D55E69-B454-534B-B158-3C52404A7E51}"/>
    <hyperlink ref="C17" r:id="rId2" xr:uid="{711D29FC-341D-DA42-901B-C132DA32C10A}"/>
    <hyperlink ref="C6" r:id="rId3" xr:uid="{1F671688-8929-974C-983C-945DC44ABCFA}"/>
    <hyperlink ref="C8" r:id="rId4" xr:uid="{5570FF89-57D4-FD4B-AA9E-BACB1DEE9913}"/>
    <hyperlink ref="C9" r:id="rId5" xr:uid="{51E87DEC-A79C-6C4B-9126-AA379DD3CA2A}"/>
    <hyperlink ref="C10" r:id="rId6" xr:uid="{96DD4531-806D-1745-BF37-1D4503B5CDB2}"/>
    <hyperlink ref="C11" r:id="rId7" xr:uid="{4BC45701-B715-ED4C-80F7-E19BE7C72F1B}"/>
    <hyperlink ref="C12" r:id="rId8" xr:uid="{913E2BBC-D655-5249-8731-14B6083A7653}"/>
    <hyperlink ref="C13" r:id="rId9" xr:uid="{4582D94A-CEB5-384A-B199-B1131A9D990A}"/>
    <hyperlink ref="C14" r:id="rId10" xr:uid="{F2700F96-F767-AD49-9C64-E7F1A0BC15AE}"/>
    <hyperlink ref="C5" r:id="rId11" xr:uid="{82A472B6-213F-7045-84A5-6498CE2AD29F}"/>
  </hyperlinks>
  <pageMargins left="0.7" right="0.7" top="0.75" bottom="0.75" header="0.3" footer="0.3"/>
  <legacy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Gandhimani</dc:creator>
  <cp:lastModifiedBy>Bharath Gandhimani</cp:lastModifiedBy>
  <dcterms:created xsi:type="dcterms:W3CDTF">2025-09-23T17:07:52Z</dcterms:created>
  <dcterms:modified xsi:type="dcterms:W3CDTF">2025-09-23T17:16:21Z</dcterms:modified>
</cp:coreProperties>
</file>